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80868656\Documents\aquatic_tox_July_2026_mamr\"/>
    </mc:Choice>
  </mc:AlternateContent>
  <xr:revisionPtr revIDLastSave="0" documentId="13_ncr:1_{5EFC1C11-EDAE-4DD5-8047-610C6BE8AA8B}" xr6:coauthVersionLast="47" xr6:coauthVersionMax="47" xr10:uidLastSave="{00000000-0000-0000-0000-000000000000}"/>
  <bookViews>
    <workbookView xWindow="28680" yWindow="-120" windowWidth="29040" windowHeight="17520" xr2:uid="{DCCE98E3-7ECB-464D-B3A9-333AAEFCC84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5" i="1" l="1"/>
</calcChain>
</file>

<file path=xl/sharedStrings.xml><?xml version="1.0" encoding="utf-8"?>
<sst xmlns="http://schemas.openxmlformats.org/spreadsheetml/2006/main" count="277" uniqueCount="77">
  <si>
    <t>substance</t>
  </si>
  <si>
    <t>formulation</t>
  </si>
  <si>
    <t>species</t>
  </si>
  <si>
    <t>test_nr</t>
  </si>
  <si>
    <t>test_system</t>
  </si>
  <si>
    <t>test_system_details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</si>
  <si>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</si>
  <si>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</si>
  <si>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</si>
  <si>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</si>
  <si>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</si>
  <si>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</si>
  <si>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</si>
  <si>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</si>
  <si>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</si>
  <si>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</si>
  <si>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</si>
  <si>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</si>
  <si>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</si>
  <si>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</si>
  <si>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</si>
  <si>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</si>
  <si>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flow-through</t>
  </si>
  <si>
    <t>96 h</t>
  </si>
  <si>
    <t>mortality</t>
  </si>
  <si>
    <t>LC50</t>
  </si>
  <si>
    <t>mg/L</t>
  </si>
  <si>
    <t>growth</t>
  </si>
  <si>
    <t>NOEC</t>
  </si>
  <si>
    <t>static</t>
  </si>
  <si>
    <t>others</t>
  </si>
  <si>
    <t>Daphnia magna</t>
  </si>
  <si>
    <t>48 h</t>
  </si>
  <si>
    <t>EC50</t>
  </si>
  <si>
    <t>semi-static</t>
  </si>
  <si>
    <t>21 d</t>
  </si>
  <si>
    <t>Pseudokirchneriella subcapitata</t>
  </si>
  <si>
    <t>72 h</t>
  </si>
  <si>
    <t>growth rate</t>
  </si>
  <si>
    <t>sk_RAR</t>
  </si>
  <si>
    <t>page_RAR</t>
  </si>
  <si>
    <t>biomass</t>
  </si>
  <si>
    <t>Chironomus riparius</t>
  </si>
  <si>
    <t>28 d</t>
  </si>
  <si>
    <t>TRUE</t>
  </si>
  <si>
    <t>nom</t>
  </si>
  <si>
    <t>mm</t>
  </si>
  <si>
    <t>&gt;</t>
  </si>
  <si>
    <t>reproduction</t>
  </si>
  <si>
    <t>=</t>
  </si>
  <si>
    <t>Skeletonema costatum</t>
  </si>
  <si>
    <t>Lemna gibba</t>
  </si>
  <si>
    <t>mamr</t>
  </si>
  <si>
    <t>boscalid_RAR_22_LoEP_2018-11-09</t>
  </si>
  <si>
    <t>Boscalid</t>
  </si>
  <si>
    <t>Americamysis bahia</t>
  </si>
  <si>
    <t>Crassostrea virginica</t>
  </si>
  <si>
    <t>BAS 510 01 F</t>
  </si>
  <si>
    <t>Equivalent to 50 mg formulation/L</t>
  </si>
  <si>
    <t>Hyalella azteca</t>
  </si>
  <si>
    <t>spiked sediment</t>
  </si>
  <si>
    <t>10 d</t>
  </si>
  <si>
    <t>mg/kg dry sediment</t>
  </si>
  <si>
    <t>spiked water</t>
  </si>
  <si>
    <t>Development, emergence</t>
  </si>
  <si>
    <t>Sediment endpoint currently not used</t>
  </si>
  <si>
    <t>RAR LoEP</t>
  </si>
  <si>
    <t>FALSE</t>
  </si>
  <si>
    <t>Development</t>
  </si>
  <si>
    <t>im</t>
  </si>
  <si>
    <t>yield</t>
  </si>
  <si>
    <t>Equivalent a.s. concentration</t>
  </si>
  <si>
    <t>7 d</t>
  </si>
  <si>
    <t>Frond number</t>
  </si>
  <si>
    <t>effect not specified</t>
  </si>
  <si>
    <t>rajo</t>
  </si>
  <si>
    <t>Converted from preparation endpoint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</si>
</sst>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1"/>
  </cellXfs>
  <cellStyles count="2">
    <cellStyle name="Standard" xfId="0" builtinId="0"/>
    <cellStyle name="Standard 2" xfId="1" xr:uid="{F91B16C9-D32D-43A2-8E92-16DE77CC4B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8FB3-CDA8-4307-B6A0-0CD6CA31604F}">
  <dimension ref="A1:X19"/>
  <sheetViews>
    <sheetView tabSelected="1" topLeftCell="B1" zoomScale="90" zoomScaleNormal="90" workbookViewId="0">
      <pane ySplit="1" topLeftCell="A2" activePane="bottomLeft" state="frozen"/>
      <selection pane="bottomLeft" activeCell="P2" sqref="P2:Q17"/>
    </sheetView>
  </sheetViews>
  <sheetFormatPr baseColWidth="10" defaultRowHeight="15" x14ac:dyDescent="0.25"/>
  <cols>
    <col min="1" max="1" width="14.85546875" customWidth="1"/>
    <col min="2" max="2" width="13.42578125" customWidth="1"/>
    <col min="3" max="3" width="17.85546875" customWidth="1"/>
    <col min="4" max="4" width="7.7109375" customWidth="1"/>
    <col min="5" max="5" width="13.7109375" customWidth="1"/>
    <col min="6" max="6" width="23" customWidth="1"/>
    <col min="7" max="7" width="8.7109375" customWidth="1"/>
    <col min="8" max="8" width="10" customWidth="1"/>
    <col min="9" max="9" width="14.5703125" customWidth="1"/>
    <col min="10" max="10" width="14.28515625" customWidth="1"/>
    <col min="12" max="12" width="4.28515625" style="6" customWidth="1"/>
    <col min="14" max="14" width="11.7109375" customWidth="1"/>
    <col min="15" max="15" width="8" customWidth="1"/>
    <col min="16" max="16" width="20.28515625" customWidth="1"/>
    <col min="17" max="17" width="11.85546875" customWidth="1"/>
    <col min="18" max="18" width="28.5703125" customWidth="1"/>
    <col min="19" max="19" width="10.28515625" customWidth="1"/>
    <col min="20" max="20" width="9.42578125" customWidth="1"/>
    <col min="21" max="21" width="9.5703125" customWidth="1"/>
    <col min="22" max="22" width="28.85546875" customWidth="1"/>
    <col min="23" max="23" width="6.7109375" customWidth="1"/>
  </cols>
  <sheetData>
    <row r="1" spans="1:24" s="4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39</v>
      </c>
      <c r="S1" s="1" t="s">
        <v>40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ht="90" x14ac:dyDescent="0.25">
      <c r="A2" s="3" t="s">
        <v>54</v>
      </c>
      <c r="B2" s="3"/>
      <c r="C2" s="3" t="s">
        <v>31</v>
      </c>
      <c r="D2" s="2">
        <v>1</v>
      </c>
      <c r="E2" s="3" t="s">
        <v>29</v>
      </c>
      <c r="F2" s="3"/>
      <c r="G2" s="3" t="s">
        <v>32</v>
      </c>
      <c r="H2" s="3"/>
      <c r="I2" s="3" t="s">
        <v>24</v>
      </c>
      <c r="J2" s="3"/>
      <c r="K2" s="3" t="s">
        <v>33</v>
      </c>
      <c r="L2" s="5" t="s">
        <v>49</v>
      </c>
      <c r="M2" s="2">
        <v>5.33</v>
      </c>
      <c r="N2" s="3" t="s">
        <v>26</v>
      </c>
      <c r="O2" s="3" t="s">
        <v>46</v>
      </c>
      <c r="P2" s="4" t="s">
        <v>53</v>
      </c>
      <c r="Q2" s="3">
        <v>115</v>
      </c>
      <c r="R2" s="4" t="s">
        <v>53</v>
      </c>
      <c r="S2" s="3">
        <v>115</v>
      </c>
      <c r="T2" s="3" t="s">
        <v>44</v>
      </c>
      <c r="U2" s="3" t="s">
        <v>66</v>
      </c>
      <c r="V2" s="3"/>
      <c r="W2" s="3" t="s">
        <v>52</v>
      </c>
      <c r="X2" s="3" t="s">
        <v>75</v>
      </c>
    </row>
    <row r="3" spans="1:24" ht="90" x14ac:dyDescent="0.25">
      <c r="A3" s="3" t="s">
        <v>54</v>
      </c>
      <c r="B3" s="3"/>
      <c r="C3" s="3" t="s">
        <v>55</v>
      </c>
      <c r="D3" s="2">
        <v>2</v>
      </c>
      <c r="E3" s="3" t="s">
        <v>22</v>
      </c>
      <c r="F3" s="3"/>
      <c r="G3" s="3" t="s">
        <v>32</v>
      </c>
      <c r="H3" s="3"/>
      <c r="I3" s="3" t="s">
        <v>24</v>
      </c>
      <c r="J3" s="3"/>
      <c r="K3" s="3" t="s">
        <v>25</v>
      </c>
      <c r="L3" s="5" t="s">
        <v>47</v>
      </c>
      <c r="M3" s="2">
        <v>3.81</v>
      </c>
      <c r="N3" s="3" t="s">
        <v>26</v>
      </c>
      <c r="O3" s="3" t="s">
        <v>46</v>
      </c>
      <c r="P3" s="4" t="s">
        <v>53</v>
      </c>
      <c r="Q3" s="3">
        <v>115</v>
      </c>
      <c r="R3" s="4" t="s">
        <v>53</v>
      </c>
      <c r="S3" s="3">
        <v>115</v>
      </c>
      <c r="T3" s="3" t="s">
        <v>44</v>
      </c>
      <c r="U3" s="3" t="s">
        <v>66</v>
      </c>
      <c r="V3" s="3"/>
      <c r="W3" s="3" t="s">
        <v>52</v>
      </c>
      <c r="X3" s="3" t="s">
        <v>75</v>
      </c>
    </row>
    <row r="4" spans="1:24" ht="90" x14ac:dyDescent="0.25">
      <c r="A4" s="3" t="s">
        <v>54</v>
      </c>
      <c r="B4" s="3"/>
      <c r="C4" s="3" t="s">
        <v>56</v>
      </c>
      <c r="D4" s="2">
        <v>3</v>
      </c>
      <c r="E4" s="3" t="s">
        <v>22</v>
      </c>
      <c r="F4" s="3"/>
      <c r="G4" s="3" t="s">
        <v>23</v>
      </c>
      <c r="H4" s="3"/>
      <c r="I4" s="3" t="s">
        <v>24</v>
      </c>
      <c r="J4" s="3"/>
      <c r="K4" s="3" t="s">
        <v>33</v>
      </c>
      <c r="L4" s="5" t="s">
        <v>49</v>
      </c>
      <c r="M4" s="2">
        <v>1.66</v>
      </c>
      <c r="N4" s="3" t="s">
        <v>26</v>
      </c>
      <c r="O4" s="3" t="s">
        <v>46</v>
      </c>
      <c r="P4" s="4" t="s">
        <v>53</v>
      </c>
      <c r="Q4" s="3">
        <v>115</v>
      </c>
      <c r="R4" s="4" t="s">
        <v>53</v>
      </c>
      <c r="S4" s="3">
        <v>115</v>
      </c>
      <c r="T4" s="3" t="s">
        <v>44</v>
      </c>
      <c r="U4" s="3" t="s">
        <v>66</v>
      </c>
      <c r="V4" s="3"/>
      <c r="W4" s="3" t="s">
        <v>52</v>
      </c>
      <c r="X4" s="3" t="s">
        <v>75</v>
      </c>
    </row>
    <row r="5" spans="1:24" ht="90" x14ac:dyDescent="0.25">
      <c r="A5" s="3" t="s">
        <v>54</v>
      </c>
      <c r="B5" s="3" t="s">
        <v>57</v>
      </c>
      <c r="C5" s="3" t="s">
        <v>31</v>
      </c>
      <c r="D5" s="2">
        <v>4</v>
      </c>
      <c r="E5" s="3" t="s">
        <v>29</v>
      </c>
      <c r="F5" s="3"/>
      <c r="G5" s="3" t="s">
        <v>32</v>
      </c>
      <c r="H5" s="3"/>
      <c r="I5" s="3" t="s">
        <v>24</v>
      </c>
      <c r="J5" s="3"/>
      <c r="K5" s="3" t="s">
        <v>33</v>
      </c>
      <c r="L5" s="5" t="s">
        <v>49</v>
      </c>
      <c r="M5" s="2">
        <v>25.65</v>
      </c>
      <c r="N5" s="3" t="s">
        <v>26</v>
      </c>
      <c r="O5" s="3" t="s">
        <v>45</v>
      </c>
      <c r="P5" s="4" t="s">
        <v>53</v>
      </c>
      <c r="Q5" s="3">
        <v>115</v>
      </c>
      <c r="R5" s="4" t="s">
        <v>53</v>
      </c>
      <c r="S5" s="3">
        <v>115</v>
      </c>
      <c r="T5" s="3" t="s">
        <v>44</v>
      </c>
      <c r="U5" s="3" t="s">
        <v>66</v>
      </c>
      <c r="V5" s="3" t="s">
        <v>58</v>
      </c>
      <c r="W5" s="3" t="s">
        <v>52</v>
      </c>
      <c r="X5" s="3" t="s">
        <v>75</v>
      </c>
    </row>
    <row r="6" spans="1:24" ht="90" x14ac:dyDescent="0.25">
      <c r="A6" s="3" t="s">
        <v>54</v>
      </c>
      <c r="B6" s="3"/>
      <c r="C6" s="3" t="s">
        <v>31</v>
      </c>
      <c r="D6" s="2">
        <v>5</v>
      </c>
      <c r="E6" s="3" t="s">
        <v>34</v>
      </c>
      <c r="F6" s="3"/>
      <c r="G6" s="3" t="s">
        <v>35</v>
      </c>
      <c r="H6" s="3"/>
      <c r="I6" s="3" t="s">
        <v>48</v>
      </c>
      <c r="J6" s="3"/>
      <c r="K6" s="3" t="s">
        <v>28</v>
      </c>
      <c r="L6" s="5" t="s">
        <v>49</v>
      </c>
      <c r="M6" s="2">
        <v>0.8</v>
      </c>
      <c r="N6" s="3" t="s">
        <v>26</v>
      </c>
      <c r="O6" s="3" t="s">
        <v>45</v>
      </c>
      <c r="P6" s="4" t="s">
        <v>53</v>
      </c>
      <c r="Q6" s="3">
        <v>115</v>
      </c>
      <c r="R6" s="4" t="s">
        <v>53</v>
      </c>
      <c r="S6" s="3">
        <v>115</v>
      </c>
      <c r="T6" s="3" t="s">
        <v>44</v>
      </c>
      <c r="U6" s="3" t="s">
        <v>66</v>
      </c>
      <c r="V6" s="3"/>
      <c r="W6" s="3" t="s">
        <v>52</v>
      </c>
      <c r="X6" s="3" t="s">
        <v>75</v>
      </c>
    </row>
    <row r="7" spans="1:24" ht="90" x14ac:dyDescent="0.25">
      <c r="A7" s="3" t="s">
        <v>54</v>
      </c>
      <c r="B7" s="3"/>
      <c r="C7" s="3" t="s">
        <v>31</v>
      </c>
      <c r="D7" s="2">
        <v>6</v>
      </c>
      <c r="E7" s="3" t="s">
        <v>34</v>
      </c>
      <c r="F7" s="3"/>
      <c r="G7" s="3" t="s">
        <v>35</v>
      </c>
      <c r="H7" s="3"/>
      <c r="I7" s="3" t="s">
        <v>48</v>
      </c>
      <c r="J7" s="3"/>
      <c r="K7" s="3" t="s">
        <v>28</v>
      </c>
      <c r="L7" s="5" t="s">
        <v>49</v>
      </c>
      <c r="M7" s="2">
        <v>1.31</v>
      </c>
      <c r="N7" s="3" t="s">
        <v>26</v>
      </c>
      <c r="O7" s="3" t="s">
        <v>46</v>
      </c>
      <c r="P7" s="4" t="s">
        <v>53</v>
      </c>
      <c r="Q7" s="3">
        <v>115</v>
      </c>
      <c r="R7" s="4" t="s">
        <v>53</v>
      </c>
      <c r="S7" s="3">
        <v>115</v>
      </c>
      <c r="T7" s="3" t="s">
        <v>44</v>
      </c>
      <c r="U7" s="3" t="s">
        <v>66</v>
      </c>
      <c r="V7" s="3"/>
      <c r="W7" s="3" t="s">
        <v>52</v>
      </c>
      <c r="X7" s="3" t="s">
        <v>75</v>
      </c>
    </row>
    <row r="8" spans="1:24" ht="90" x14ac:dyDescent="0.25">
      <c r="A8" s="3" t="s">
        <v>54</v>
      </c>
      <c r="B8" s="3"/>
      <c r="C8" s="3" t="s">
        <v>59</v>
      </c>
      <c r="D8" s="2">
        <v>7</v>
      </c>
      <c r="E8" s="3" t="s">
        <v>29</v>
      </c>
      <c r="F8" s="3" t="s">
        <v>60</v>
      </c>
      <c r="G8" s="3" t="s">
        <v>61</v>
      </c>
      <c r="H8" s="3"/>
      <c r="I8" s="3" t="s">
        <v>24</v>
      </c>
      <c r="J8" s="3"/>
      <c r="K8" s="3" t="s">
        <v>25</v>
      </c>
      <c r="L8" s="5" t="s">
        <v>47</v>
      </c>
      <c r="M8" s="2">
        <v>97</v>
      </c>
      <c r="N8" s="3" t="s">
        <v>62</v>
      </c>
      <c r="O8" s="3" t="s">
        <v>46</v>
      </c>
      <c r="P8" s="4" t="s">
        <v>53</v>
      </c>
      <c r="Q8" s="3">
        <v>115</v>
      </c>
      <c r="R8" s="4" t="s">
        <v>53</v>
      </c>
      <c r="S8" s="3">
        <v>115</v>
      </c>
      <c r="T8" s="3" t="s">
        <v>67</v>
      </c>
      <c r="U8" s="7" t="s">
        <v>65</v>
      </c>
      <c r="V8" s="3"/>
      <c r="W8" s="3" t="s">
        <v>52</v>
      </c>
      <c r="X8" s="3" t="s">
        <v>75</v>
      </c>
    </row>
    <row r="9" spans="1:24" ht="90" x14ac:dyDescent="0.25">
      <c r="A9" s="3" t="s">
        <v>54</v>
      </c>
      <c r="B9" s="3"/>
      <c r="C9" s="3" t="s">
        <v>42</v>
      </c>
      <c r="D9" s="2">
        <v>8</v>
      </c>
      <c r="E9" s="3" t="s">
        <v>29</v>
      </c>
      <c r="F9" s="3" t="s">
        <v>63</v>
      </c>
      <c r="G9" s="3" t="s">
        <v>43</v>
      </c>
      <c r="H9" s="3"/>
      <c r="I9" s="3" t="s">
        <v>30</v>
      </c>
      <c r="J9" s="3" t="s">
        <v>64</v>
      </c>
      <c r="K9" s="3" t="s">
        <v>28</v>
      </c>
      <c r="L9" s="5" t="s">
        <v>49</v>
      </c>
      <c r="M9" s="2">
        <v>1</v>
      </c>
      <c r="N9" s="3" t="s">
        <v>26</v>
      </c>
      <c r="O9" s="3" t="s">
        <v>45</v>
      </c>
      <c r="P9" s="4" t="s">
        <v>53</v>
      </c>
      <c r="Q9" s="3">
        <v>115</v>
      </c>
      <c r="R9" s="4" t="s">
        <v>53</v>
      </c>
      <c r="S9" s="3">
        <v>115</v>
      </c>
      <c r="T9" s="3" t="s">
        <v>44</v>
      </c>
      <c r="U9" s="3" t="s">
        <v>66</v>
      </c>
      <c r="V9" s="3"/>
      <c r="W9" s="3" t="s">
        <v>52</v>
      </c>
      <c r="X9" s="3" t="s">
        <v>75</v>
      </c>
    </row>
    <row r="10" spans="1:24" ht="90" x14ac:dyDescent="0.25">
      <c r="A10" s="3" t="s">
        <v>54</v>
      </c>
      <c r="B10" s="3"/>
      <c r="C10" s="3" t="s">
        <v>42</v>
      </c>
      <c r="D10" s="2">
        <v>9</v>
      </c>
      <c r="E10" s="3" t="s">
        <v>29</v>
      </c>
      <c r="F10" s="3" t="s">
        <v>60</v>
      </c>
      <c r="G10" s="3" t="s">
        <v>43</v>
      </c>
      <c r="H10" s="3"/>
      <c r="I10" s="3" t="s">
        <v>27</v>
      </c>
      <c r="J10" s="3" t="s">
        <v>68</v>
      </c>
      <c r="K10" s="3" t="s">
        <v>28</v>
      </c>
      <c r="L10" s="5" t="s">
        <v>49</v>
      </c>
      <c r="M10" s="2">
        <v>23.26</v>
      </c>
      <c r="N10" s="3" t="s">
        <v>62</v>
      </c>
      <c r="O10" s="3" t="s">
        <v>69</v>
      </c>
      <c r="P10" s="4" t="s">
        <v>53</v>
      </c>
      <c r="Q10" s="3">
        <v>116</v>
      </c>
      <c r="R10" s="4" t="s">
        <v>53</v>
      </c>
      <c r="S10" s="3">
        <v>116</v>
      </c>
      <c r="T10" s="3" t="s">
        <v>67</v>
      </c>
      <c r="U10" s="7" t="s">
        <v>65</v>
      </c>
      <c r="V10" s="3"/>
      <c r="W10" s="3" t="s">
        <v>52</v>
      </c>
      <c r="X10" s="3" t="s">
        <v>75</v>
      </c>
    </row>
    <row r="11" spans="1:24" ht="90" x14ac:dyDescent="0.25">
      <c r="A11" s="3" t="s">
        <v>54</v>
      </c>
      <c r="B11" s="3"/>
      <c r="C11" s="3" t="s">
        <v>36</v>
      </c>
      <c r="D11" s="2">
        <v>10</v>
      </c>
      <c r="E11" s="3" t="s">
        <v>29</v>
      </c>
      <c r="F11" s="3"/>
      <c r="G11" s="3" t="s">
        <v>37</v>
      </c>
      <c r="H11" s="3"/>
      <c r="I11" s="3" t="s">
        <v>38</v>
      </c>
      <c r="J11" s="3"/>
      <c r="K11" s="3" t="s">
        <v>33</v>
      </c>
      <c r="L11" s="5" t="s">
        <v>49</v>
      </c>
      <c r="M11" s="2">
        <v>2.61</v>
      </c>
      <c r="N11" s="3" t="s">
        <v>26</v>
      </c>
      <c r="O11" s="3" t="s">
        <v>46</v>
      </c>
      <c r="P11" s="4" t="s">
        <v>53</v>
      </c>
      <c r="Q11" s="3">
        <v>116</v>
      </c>
      <c r="R11" s="4" t="s">
        <v>53</v>
      </c>
      <c r="S11" s="3">
        <v>116</v>
      </c>
      <c r="T11" s="3" t="s">
        <v>44</v>
      </c>
      <c r="U11" s="3" t="s">
        <v>66</v>
      </c>
      <c r="V11" s="3"/>
      <c r="W11" s="3" t="s">
        <v>52</v>
      </c>
      <c r="X11" s="3" t="s">
        <v>75</v>
      </c>
    </row>
    <row r="12" spans="1:24" ht="90" x14ac:dyDescent="0.25">
      <c r="A12" s="3" t="s">
        <v>54</v>
      </c>
      <c r="B12" s="3"/>
      <c r="C12" s="3" t="s">
        <v>36</v>
      </c>
      <c r="D12" s="2">
        <v>10</v>
      </c>
      <c r="E12" s="3" t="s">
        <v>29</v>
      </c>
      <c r="F12" s="3"/>
      <c r="G12" s="3" t="s">
        <v>37</v>
      </c>
      <c r="H12" s="3"/>
      <c r="I12" s="3" t="s">
        <v>70</v>
      </c>
      <c r="J12" s="3"/>
      <c r="K12" s="3" t="s">
        <v>33</v>
      </c>
      <c r="L12" s="5" t="s">
        <v>49</v>
      </c>
      <c r="M12" s="2">
        <v>1.33</v>
      </c>
      <c r="N12" s="3" t="s">
        <v>26</v>
      </c>
      <c r="O12" s="3" t="s">
        <v>46</v>
      </c>
      <c r="P12" s="4" t="s">
        <v>53</v>
      </c>
      <c r="Q12" s="3">
        <v>116</v>
      </c>
      <c r="R12" s="4" t="s">
        <v>53</v>
      </c>
      <c r="S12" s="3">
        <v>116</v>
      </c>
      <c r="T12" s="3" t="s">
        <v>44</v>
      </c>
      <c r="U12" s="3" t="s">
        <v>66</v>
      </c>
      <c r="V12" s="3"/>
      <c r="W12" s="3" t="s">
        <v>52</v>
      </c>
      <c r="X12" s="3" t="s">
        <v>75</v>
      </c>
    </row>
    <row r="13" spans="1:24" ht="90" x14ac:dyDescent="0.25">
      <c r="A13" s="3" t="s">
        <v>54</v>
      </c>
      <c r="B13" s="3"/>
      <c r="C13" s="3" t="s">
        <v>50</v>
      </c>
      <c r="D13" s="2">
        <v>11</v>
      </c>
      <c r="E13" s="3" t="s">
        <v>29</v>
      </c>
      <c r="F13" s="3"/>
      <c r="G13" s="3" t="s">
        <v>37</v>
      </c>
      <c r="H13" s="3"/>
      <c r="I13" s="3"/>
      <c r="J13" s="3"/>
      <c r="K13" s="3" t="s">
        <v>33</v>
      </c>
      <c r="L13" s="5" t="s">
        <v>47</v>
      </c>
      <c r="M13" s="2">
        <v>3.5</v>
      </c>
      <c r="N13" s="3" t="s">
        <v>26</v>
      </c>
      <c r="O13" s="3" t="s">
        <v>46</v>
      </c>
      <c r="P13" s="4" t="s">
        <v>53</v>
      </c>
      <c r="Q13" s="3">
        <v>116</v>
      </c>
      <c r="R13" s="4" t="s">
        <v>53</v>
      </c>
      <c r="S13" s="3">
        <v>116</v>
      </c>
      <c r="T13" s="3" t="s">
        <v>44</v>
      </c>
      <c r="U13" s="3" t="s">
        <v>66</v>
      </c>
      <c r="V13" s="3" t="s">
        <v>74</v>
      </c>
      <c r="W13" s="3" t="s">
        <v>52</v>
      </c>
      <c r="X13" s="3" t="s">
        <v>75</v>
      </c>
    </row>
    <row r="14" spans="1:24" ht="90" x14ac:dyDescent="0.25">
      <c r="A14" s="3" t="s">
        <v>54</v>
      </c>
      <c r="B14" s="3" t="s">
        <v>57</v>
      </c>
      <c r="C14" s="3" t="s">
        <v>36</v>
      </c>
      <c r="D14" s="2">
        <v>12</v>
      </c>
      <c r="E14" s="3" t="s">
        <v>29</v>
      </c>
      <c r="F14" s="3"/>
      <c r="G14" s="3" t="s">
        <v>37</v>
      </c>
      <c r="H14" s="3"/>
      <c r="I14" s="3" t="s">
        <v>38</v>
      </c>
      <c r="J14" s="3"/>
      <c r="K14" s="3" t="s">
        <v>33</v>
      </c>
      <c r="L14" s="5" t="s">
        <v>49</v>
      </c>
      <c r="M14" s="2">
        <v>2.31</v>
      </c>
      <c r="N14" s="3" t="s">
        <v>26</v>
      </c>
      <c r="O14" s="3" t="s">
        <v>45</v>
      </c>
      <c r="P14" s="4" t="s">
        <v>53</v>
      </c>
      <c r="Q14" s="3">
        <v>116</v>
      </c>
      <c r="R14" s="4" t="s">
        <v>53</v>
      </c>
      <c r="S14" s="3">
        <v>116</v>
      </c>
      <c r="T14" s="3" t="s">
        <v>44</v>
      </c>
      <c r="U14" s="3" t="s">
        <v>66</v>
      </c>
      <c r="V14" s="3" t="s">
        <v>71</v>
      </c>
      <c r="W14" s="3" t="s">
        <v>52</v>
      </c>
      <c r="X14" s="3" t="s">
        <v>75</v>
      </c>
    </row>
    <row r="15" spans="1:24" ht="90" x14ac:dyDescent="0.25">
      <c r="A15" s="3" t="s">
        <v>54</v>
      </c>
      <c r="B15" s="3" t="s">
        <v>57</v>
      </c>
      <c r="C15" s="3" t="s">
        <v>36</v>
      </c>
      <c r="D15" s="2">
        <v>12</v>
      </c>
      <c r="E15" s="3" t="s">
        <v>29</v>
      </c>
      <c r="F15" s="3"/>
      <c r="G15" s="3" t="s">
        <v>37</v>
      </c>
      <c r="H15" s="3"/>
      <c r="I15" s="3" t="s">
        <v>41</v>
      </c>
      <c r="J15" s="3"/>
      <c r="K15" s="3" t="s">
        <v>33</v>
      </c>
      <c r="L15" s="5" t="s">
        <v>49</v>
      </c>
      <c r="M15" s="2">
        <f>3.37*(2.31/4.5)</f>
        <v>1.7299333333333333</v>
      </c>
      <c r="N15" s="3" t="s">
        <v>26</v>
      </c>
      <c r="O15" s="3" t="s">
        <v>45</v>
      </c>
      <c r="P15" s="4" t="s">
        <v>53</v>
      </c>
      <c r="Q15" s="3">
        <v>116</v>
      </c>
      <c r="R15" s="4" t="s">
        <v>53</v>
      </c>
      <c r="S15" s="3">
        <v>116</v>
      </c>
      <c r="T15" s="3" t="s">
        <v>44</v>
      </c>
      <c r="U15" s="3" t="s">
        <v>66</v>
      </c>
      <c r="V15" s="3" t="s">
        <v>76</v>
      </c>
      <c r="W15" s="3" t="s">
        <v>52</v>
      </c>
      <c r="X15" s="3" t="s">
        <v>75</v>
      </c>
    </row>
    <row r="16" spans="1:24" ht="90" x14ac:dyDescent="0.25">
      <c r="A16" s="3" t="s">
        <v>54</v>
      </c>
      <c r="B16" s="3"/>
      <c r="C16" s="3" t="s">
        <v>51</v>
      </c>
      <c r="D16" s="2">
        <v>13</v>
      </c>
      <c r="E16" s="3" t="s">
        <v>29</v>
      </c>
      <c r="F16" s="3"/>
      <c r="G16" s="3" t="s">
        <v>72</v>
      </c>
      <c r="H16" s="3"/>
      <c r="I16" s="3" t="s">
        <v>27</v>
      </c>
      <c r="J16" s="3" t="s">
        <v>73</v>
      </c>
      <c r="K16" s="3" t="s">
        <v>33</v>
      </c>
      <c r="L16" s="5" t="s">
        <v>47</v>
      </c>
      <c r="M16" s="2">
        <v>3.9</v>
      </c>
      <c r="N16" s="3" t="s">
        <v>26</v>
      </c>
      <c r="O16" s="3" t="s">
        <v>46</v>
      </c>
      <c r="P16" s="4" t="s">
        <v>53</v>
      </c>
      <c r="Q16" s="3">
        <v>116</v>
      </c>
      <c r="R16" s="4" t="s">
        <v>53</v>
      </c>
      <c r="S16" s="3">
        <v>116</v>
      </c>
      <c r="T16" s="3" t="s">
        <v>44</v>
      </c>
      <c r="U16" s="3" t="s">
        <v>66</v>
      </c>
      <c r="V16" s="3"/>
      <c r="W16" s="3" t="s">
        <v>52</v>
      </c>
      <c r="X16" s="3" t="s">
        <v>75</v>
      </c>
    </row>
    <row r="17" spans="1:24" ht="90" x14ac:dyDescent="0.25">
      <c r="A17" s="3" t="s">
        <v>54</v>
      </c>
      <c r="B17" s="3"/>
      <c r="C17" s="3" t="s">
        <v>51</v>
      </c>
      <c r="D17" s="2">
        <v>13</v>
      </c>
      <c r="E17" s="3" t="s">
        <v>29</v>
      </c>
      <c r="F17" s="3"/>
      <c r="G17" s="3" t="s">
        <v>72</v>
      </c>
      <c r="H17" s="3"/>
      <c r="I17" s="3" t="s">
        <v>27</v>
      </c>
      <c r="J17" s="3" t="s">
        <v>73</v>
      </c>
      <c r="K17" s="3" t="s">
        <v>28</v>
      </c>
      <c r="L17" s="5" t="s">
        <v>49</v>
      </c>
      <c r="M17" s="2">
        <v>0.99</v>
      </c>
      <c r="N17" s="3" t="s">
        <v>26</v>
      </c>
      <c r="O17" s="3" t="s">
        <v>46</v>
      </c>
      <c r="P17" s="4" t="s">
        <v>53</v>
      </c>
      <c r="Q17" s="3">
        <v>116</v>
      </c>
      <c r="R17" s="4" t="s">
        <v>53</v>
      </c>
      <c r="S17" s="3">
        <v>116</v>
      </c>
      <c r="T17" s="3" t="s">
        <v>44</v>
      </c>
      <c r="U17" s="3" t="s">
        <v>66</v>
      </c>
      <c r="V17" s="3"/>
      <c r="W17" s="3" t="s">
        <v>52</v>
      </c>
      <c r="X17" s="3" t="s">
        <v>75</v>
      </c>
    </row>
    <row r="18" spans="1:24" x14ac:dyDescent="0.25">
      <c r="A18" s="3"/>
      <c r="B18" s="3"/>
      <c r="C18" s="3"/>
      <c r="D18" s="2"/>
      <c r="E18" s="3"/>
      <c r="F18" s="3"/>
      <c r="G18" s="3"/>
      <c r="H18" s="3"/>
      <c r="I18" s="3"/>
      <c r="J18" s="3"/>
      <c r="K18" s="3"/>
      <c r="L18" s="5"/>
      <c r="M18" s="2"/>
      <c r="N18" s="3"/>
      <c r="O18" s="3"/>
      <c r="Q18" s="2"/>
      <c r="R18" s="3"/>
      <c r="S18" s="3"/>
      <c r="T18" s="3"/>
      <c r="U18" s="3"/>
      <c r="V18" s="3"/>
      <c r="W18" s="3"/>
    </row>
    <row r="19" spans="1:24" x14ac:dyDescent="0.25">
      <c r="A19" s="3"/>
      <c r="B19" s="3"/>
      <c r="C19" s="3"/>
      <c r="D19" s="2"/>
      <c r="E19" s="3"/>
      <c r="F19" s="3"/>
      <c r="G19" s="3"/>
      <c r="H19" s="3"/>
      <c r="I19" s="3"/>
      <c r="J19" s="3"/>
      <c r="K19" s="3"/>
      <c r="L19" s="5"/>
      <c r="M19" s="2"/>
      <c r="N19" s="3"/>
      <c r="O19" s="3"/>
      <c r="Q19" s="2"/>
      <c r="R19" s="3"/>
      <c r="S19" s="3"/>
      <c r="T19" s="3"/>
      <c r="U19" s="3"/>
      <c r="V19" s="3"/>
      <c r="W19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Agroscope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Marcel</dc:creator>
  <cp:lastModifiedBy>Ranke Johannes AGROSCOPE</cp:lastModifiedBy>
  <dcterms:created xsi:type="dcterms:W3CDTF">2026-07-07T08:15:57Z</dcterms:created>
  <dcterms:modified xsi:type="dcterms:W3CDTF">2026-07-28T10:04:58Z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2026-07-28T08:23:08Z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7300ff31-0943-4ba3-aa11-dafcd42c5b16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</Properties>
</file>